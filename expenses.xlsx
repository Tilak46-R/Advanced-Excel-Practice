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ilak R\Desktop\"/>
    </mc:Choice>
  </mc:AlternateContent>
  <xr:revisionPtr revIDLastSave="0" documentId="8_{3ED3B095-6E9D-4B19-A4CD-B25E50BEC0FF}" xr6:coauthVersionLast="47" xr6:coauthVersionMax="47" xr10:uidLastSave="{00000000-0000-0000-0000-000000000000}"/>
  <bookViews>
    <workbookView xWindow="-108" yWindow="-108" windowWidth="23256" windowHeight="12456" activeTab="2" xr2:uid="{00000000-000D-0000-FFFF-FFFF00000000}"/>
  </bookViews>
  <sheets>
    <sheet name="May-2023" sheetId="1" r:id="rId1"/>
    <sheet name="June-2023" sheetId="2" r:id="rId2"/>
    <sheet name="Sheet1" sheetId="3" r:id="rId3"/>
  </sheets>
  <definedNames>
    <definedName name="_xlnm._FilterDatabase" localSheetId="0" hidden="1">'May-2023'!$A$1:$E$12</definedName>
    <definedName name="_xlnm._FilterDatabase" localSheetId="2" hidden="1">Sheet1!$A$1:$F$12</definedName>
    <definedName name="Myexpense">Newexpense[[#Headers],[#Data]]</definedName>
    <definedName name="Slicer_Category">#N/A</definedName>
  </definedNames>
  <calcPr calcId="191029"/>
  <pivotCaches>
    <pivotCache cacheId="3"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6" i="3" l="1"/>
  <c r="D13" i="3"/>
  <c r="K4" i="3"/>
  <c r="K5" i="3"/>
  <c r="K3" i="3"/>
  <c r="F3" i="3"/>
  <c r="F4" i="3"/>
  <c r="F5" i="3"/>
  <c r="F6" i="3"/>
  <c r="F7" i="3"/>
  <c r="F8" i="3"/>
  <c r="F9" i="3"/>
  <c r="F10" i="3"/>
  <c r="F11" i="3"/>
  <c r="F12" i="3"/>
  <c r="F2" i="3"/>
  <c r="E3" i="3"/>
  <c r="E4" i="3"/>
  <c r="E6" i="3"/>
  <c r="E7" i="3"/>
  <c r="E5" i="3"/>
  <c r="E8" i="3"/>
  <c r="E9" i="3"/>
  <c r="E10" i="3"/>
  <c r="E11" i="3"/>
  <c r="E12" i="3"/>
  <c r="E2" i="3"/>
  <c r="H2" i="1"/>
  <c r="E12" i="2"/>
  <c r="E11" i="2"/>
  <c r="E10" i="2"/>
  <c r="E9" i="2"/>
  <c r="E8" i="2"/>
  <c r="E7" i="2"/>
  <c r="E6" i="2"/>
  <c r="E5" i="2"/>
  <c r="E4" i="2"/>
  <c r="E3" i="2"/>
  <c r="E2" i="2"/>
  <c r="E3" i="1"/>
  <c r="E4" i="1"/>
  <c r="E7" i="1"/>
  <c r="E6" i="1"/>
  <c r="E5" i="1"/>
  <c r="E11" i="1"/>
  <c r="E9" i="1"/>
  <c r="E8" i="1"/>
  <c r="E10" i="1"/>
  <c r="E12" i="1"/>
  <c r="E2" i="1"/>
  <c r="H3" i="1"/>
  <c r="H4" i="1"/>
</calcChain>
</file>

<file path=xl/sharedStrings.xml><?xml version="1.0" encoding="utf-8"?>
<sst xmlns="http://schemas.openxmlformats.org/spreadsheetml/2006/main" count="107" uniqueCount="35">
  <si>
    <t>Date</t>
  </si>
  <si>
    <t>Subway sandwich</t>
  </si>
  <si>
    <t>Amount</t>
  </si>
  <si>
    <t>Item</t>
  </si>
  <si>
    <t>Category</t>
  </si>
  <si>
    <t>Food</t>
  </si>
  <si>
    <t>Rent</t>
  </si>
  <si>
    <t>Utilities</t>
  </si>
  <si>
    <t>Gas bill</t>
  </si>
  <si>
    <t>Phone bill</t>
  </si>
  <si>
    <t>Home rent</t>
  </si>
  <si>
    <t>Groceries</t>
  </si>
  <si>
    <t>Chotumal samosa</t>
  </si>
  <si>
    <t>Tondumal pani puri</t>
  </si>
  <si>
    <t>Olive garden</t>
  </si>
  <si>
    <t>Water bill</t>
  </si>
  <si>
    <t>tea-post</t>
  </si>
  <si>
    <t>Total Expense</t>
  </si>
  <si>
    <t>Major Expense?</t>
  </si>
  <si>
    <t>Major expense</t>
  </si>
  <si>
    <t>Food expenses</t>
  </si>
  <si>
    <t>Catergory</t>
  </si>
  <si>
    <t>Total amount</t>
  </si>
  <si>
    <t>Total</t>
  </si>
  <si>
    <t>))</t>
  </si>
  <si>
    <t>Sum of Amount</t>
  </si>
  <si>
    <t>Row Labels</t>
  </si>
  <si>
    <t>Grand Total</t>
  </si>
  <si>
    <t>Company Name</t>
  </si>
  <si>
    <t>Profit</t>
  </si>
  <si>
    <t>Revenue</t>
  </si>
  <si>
    <t>Tata</t>
  </si>
  <si>
    <t>Amazon</t>
  </si>
  <si>
    <t>Microsoft</t>
  </si>
  <si>
    <t>Zomato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</si>
</sst>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6" fontId="0" fillId="0" borderId="0" xfId="0" applyNumberFormat="1"/>
    <xf numFmtId="0" fontId="0" fillId="0" borderId="0" xfId="0" applyAlignment="1">
      <alignment horizontal="right"/>
    </xf>
    <xf numFmtId="0" fontId="0" fillId="2" borderId="0" xfId="0" applyFill="1"/>
    <xf numFmtId="0" fontId="0" fillId="2" borderId="0" xfId="0" applyFill="1" applyAlignment="1">
      <alignment horizontal="right"/>
    </xf>
    <xf numFmtId="2" fontId="0" fillId="0" borderId="0" xfId="1" applyNumberFormat="1" applyFont="1"/>
    <xf numFmtId="0" fontId="0" fillId="0" borderId="0" xfId="0" pivotButton="1"/>
    <xf numFmtId="0" fontId="0" fillId="0" borderId="0" xfId="0" applyNumberFormat="1"/>
    <xf numFmtId="0" fontId="0" fillId="0" borderId="0" xfId="0" applyAlignment="1">
      <alignment horizontal="left"/>
    </xf>
  </cellXfs>
  <cellStyles count="2">
    <cellStyle name="Normal" xfId="0" builtinId="0"/>
    <cellStyle name="Percent" xfId="1" builtinId="5"/>
  </cellStyles>
  <dxfs count="9">
    <dxf>
      <alignment horizontal="righ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7" tint="0.79998168889431442"/>
        </patternFill>
      </fill>
    </dxf>
    <dxf>
      <alignment horizontal="right" vertical="bottom" textRotation="0" wrapText="0" indent="0" justifyLastLine="0" shrinkToFit="0" readingOrder="0"/>
    </dxf>
    <dxf>
      <numFmt numFmtId="21" formatCode="dd/mmm"/>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Sheet1!$U$18</c:f>
              <c:strCache>
                <c:ptCount val="1"/>
                <c:pt idx="0">
                  <c:v>Total</c:v>
                </c:pt>
              </c:strCache>
            </c:strRef>
          </c:tx>
          <c:spPr>
            <a:solidFill>
              <a:schemeClr val="accent1"/>
            </a:solidFill>
            <a:ln>
              <a:noFill/>
            </a:ln>
            <a:effectLst/>
            <a:sp3d/>
          </c:spPr>
          <c:invertIfNegative val="0"/>
          <c:cat>
            <c:strRef>
              <c:f>Sheet1!$T$19:$T$22</c:f>
              <c:strCache>
                <c:ptCount val="3"/>
                <c:pt idx="0">
                  <c:v>Food</c:v>
                </c:pt>
                <c:pt idx="1">
                  <c:v>Rent</c:v>
                </c:pt>
                <c:pt idx="2">
                  <c:v>Utilities</c:v>
                </c:pt>
              </c:strCache>
            </c:strRef>
          </c:cat>
          <c:val>
            <c:numRef>
              <c:f>Sheet1!$U$19:$U$22</c:f>
              <c:numCache>
                <c:formatCode>General</c:formatCode>
                <c:ptCount val="3"/>
                <c:pt idx="0">
                  <c:v>220</c:v>
                </c:pt>
                <c:pt idx="1">
                  <c:v>500</c:v>
                </c:pt>
                <c:pt idx="2">
                  <c:v>320</c:v>
                </c:pt>
              </c:numCache>
            </c:numRef>
          </c:val>
          <c:extLst>
            <c:ext xmlns:c16="http://schemas.microsoft.com/office/drawing/2014/chart" uri="{C3380CC4-5D6E-409C-BE32-E72D297353CC}">
              <c16:uniqueId val="{00000000-8271-47C2-8882-574EFC8D7618}"/>
            </c:ext>
          </c:extLst>
        </c:ser>
        <c:dLbls>
          <c:showLegendKey val="0"/>
          <c:showVal val="0"/>
          <c:showCatName val="0"/>
          <c:showSerName val="0"/>
          <c:showPercent val="0"/>
          <c:showBubbleSize val="0"/>
        </c:dLbls>
        <c:gapWidth val="150"/>
        <c:shape val="box"/>
        <c:axId val="377040640"/>
        <c:axId val="282749216"/>
        <c:axId val="0"/>
      </c:bar3DChart>
      <c:catAx>
        <c:axId val="377040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49216"/>
        <c:crosses val="autoZero"/>
        <c:auto val="1"/>
        <c:lblAlgn val="ctr"/>
        <c:lblOffset val="100"/>
        <c:noMultiLvlLbl val="0"/>
      </c:catAx>
      <c:valAx>
        <c:axId val="28274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04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vs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Sheet1!$K$20</c:f>
              <c:strCache>
                <c:ptCount val="1"/>
                <c:pt idx="0">
                  <c:v>Profit</c:v>
                </c:pt>
              </c:strCache>
            </c:strRef>
          </c:tx>
          <c:spPr>
            <a:solidFill>
              <a:schemeClr val="accent1"/>
            </a:solidFill>
            <a:ln>
              <a:noFill/>
            </a:ln>
            <a:effectLst/>
            <a:sp3d/>
          </c:spPr>
          <c:invertIfNegative val="0"/>
          <c:cat>
            <c:strRef>
              <c:f>Sheet1!$J$21:$J$24</c:f>
              <c:strCache>
                <c:ptCount val="4"/>
                <c:pt idx="0">
                  <c:v>Tata</c:v>
                </c:pt>
                <c:pt idx="1">
                  <c:v>Amazon</c:v>
                </c:pt>
                <c:pt idx="2">
                  <c:v>Microsoft</c:v>
                </c:pt>
                <c:pt idx="3">
                  <c:v>Zomato</c:v>
                </c:pt>
              </c:strCache>
            </c:strRef>
          </c:cat>
          <c:val>
            <c:numRef>
              <c:f>Sheet1!$K$21:$K$24</c:f>
              <c:numCache>
                <c:formatCode>General</c:formatCode>
                <c:ptCount val="4"/>
                <c:pt idx="0">
                  <c:v>500</c:v>
                </c:pt>
                <c:pt idx="1">
                  <c:v>400</c:v>
                </c:pt>
                <c:pt idx="2">
                  <c:v>300</c:v>
                </c:pt>
                <c:pt idx="3">
                  <c:v>200</c:v>
                </c:pt>
              </c:numCache>
            </c:numRef>
          </c:val>
          <c:extLst>
            <c:ext xmlns:c16="http://schemas.microsoft.com/office/drawing/2014/chart" uri="{C3380CC4-5D6E-409C-BE32-E72D297353CC}">
              <c16:uniqueId val="{00000000-667D-47A2-92F6-FB63845AC102}"/>
            </c:ext>
          </c:extLst>
        </c:ser>
        <c:ser>
          <c:idx val="1"/>
          <c:order val="1"/>
          <c:tx>
            <c:strRef>
              <c:f>Sheet1!$L$20</c:f>
              <c:strCache>
                <c:ptCount val="1"/>
                <c:pt idx="0">
                  <c:v>Revenue</c:v>
                </c:pt>
              </c:strCache>
            </c:strRef>
          </c:tx>
          <c:spPr>
            <a:solidFill>
              <a:schemeClr val="accent2"/>
            </a:solidFill>
            <a:ln>
              <a:noFill/>
            </a:ln>
            <a:effectLst/>
            <a:sp3d/>
          </c:spPr>
          <c:invertIfNegative val="0"/>
          <c:cat>
            <c:strRef>
              <c:f>Sheet1!$J$21:$J$24</c:f>
              <c:strCache>
                <c:ptCount val="4"/>
                <c:pt idx="0">
                  <c:v>Tata</c:v>
                </c:pt>
                <c:pt idx="1">
                  <c:v>Amazon</c:v>
                </c:pt>
                <c:pt idx="2">
                  <c:v>Microsoft</c:v>
                </c:pt>
                <c:pt idx="3">
                  <c:v>Zomato</c:v>
                </c:pt>
              </c:strCache>
            </c:strRef>
          </c:cat>
          <c:val>
            <c:numRef>
              <c:f>Sheet1!$L$21:$L$24</c:f>
              <c:numCache>
                <c:formatCode>General</c:formatCode>
                <c:ptCount val="4"/>
                <c:pt idx="0">
                  <c:v>1000</c:v>
                </c:pt>
                <c:pt idx="1">
                  <c:v>800</c:v>
                </c:pt>
                <c:pt idx="2">
                  <c:v>600</c:v>
                </c:pt>
                <c:pt idx="3">
                  <c:v>400</c:v>
                </c:pt>
              </c:numCache>
            </c:numRef>
          </c:val>
          <c:extLst>
            <c:ext xmlns:c16="http://schemas.microsoft.com/office/drawing/2014/chart" uri="{C3380CC4-5D6E-409C-BE32-E72D297353CC}">
              <c16:uniqueId val="{00000001-667D-47A2-92F6-FB63845AC102}"/>
            </c:ext>
          </c:extLst>
        </c:ser>
        <c:dLbls>
          <c:showLegendKey val="0"/>
          <c:showVal val="0"/>
          <c:showCatName val="0"/>
          <c:showSerName val="0"/>
          <c:showPercent val="0"/>
          <c:showBubbleSize val="0"/>
        </c:dLbls>
        <c:gapWidth val="150"/>
        <c:shape val="box"/>
        <c:axId val="768011216"/>
        <c:axId val="768008336"/>
        <c:axId val="0"/>
      </c:bar3DChart>
      <c:catAx>
        <c:axId val="768011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08336"/>
        <c:crosses val="autoZero"/>
        <c:auto val="1"/>
        <c:lblAlgn val="ctr"/>
        <c:lblOffset val="100"/>
        <c:noMultiLvlLbl val="0"/>
      </c:catAx>
      <c:valAx>
        <c:axId val="76800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1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12</xdr:col>
      <xdr:colOff>297180</xdr:colOff>
      <xdr:row>0</xdr:row>
      <xdr:rowOff>144781</xdr:rowOff>
    </xdr:from>
    <xdr:to>
      <xdr:col>15</xdr:col>
      <xdr:colOff>297180</xdr:colOff>
      <xdr:row>11</xdr:row>
      <xdr:rowOff>99061</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17A86D35-9A80-8BB9-D8FF-5CF7D7248E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20200" y="14478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281940</xdr:colOff>
      <xdr:row>18</xdr:row>
      <xdr:rowOff>167640</xdr:rowOff>
    </xdr:from>
    <xdr:to>
      <xdr:col>6</xdr:col>
      <xdr:colOff>22860</xdr:colOff>
      <xdr:row>29</xdr:row>
      <xdr:rowOff>114300</xdr:rowOff>
    </xdr:to>
    <xdr:graphicFrame macro="">
      <xdr:nvGraphicFramePr>
        <xdr:cNvPr id="3" name="Chart 2">
          <a:extLst>
            <a:ext uri="{FF2B5EF4-FFF2-40B4-BE49-F238E27FC236}">
              <a16:creationId xmlns:a16="http://schemas.microsoft.com/office/drawing/2014/main" id="{8AE040BF-3AE3-5D43-8C4B-C3D3995A9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396240</xdr:colOff>
      <xdr:row>15</xdr:row>
      <xdr:rowOff>34290</xdr:rowOff>
    </xdr:from>
    <xdr:to>
      <xdr:col>12</xdr:col>
      <xdr:colOff>525780</xdr:colOff>
      <xdr:row>30</xdr:row>
      <xdr:rowOff>30480</xdr:rowOff>
    </xdr:to>
    <xdr:graphicFrame macro="">
      <xdr:nvGraphicFramePr>
        <xdr:cNvPr id="5" name="Chart 4">
          <a:extLst>
            <a:ext uri="{FF2B5EF4-FFF2-40B4-BE49-F238E27FC236}">
              <a16:creationId xmlns:a16="http://schemas.microsoft.com/office/drawing/2014/main" id="{5E9A7972-6C5A-5C74-4243-35597ADAE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lak R" refreshedDate="46040.53708321759" createdVersion="8" refreshedVersion="8" minRefreshableVersion="3" recordCount="11" xr:uid="{C5710E7D-17D7-4599-A217-ED756268542C}">
  <cacheSource type="worksheet">
    <worksheetSource name="Newexpense"/>
  </cacheSource>
  <cacheFields count="6">
    <cacheField name="Date" numFmtId="16">
      <sharedItems containsSemiMixedTypes="0" containsNonDate="0" containsDate="1" containsString="0" minDate="2023-06-01T00:00:00" maxDate="2023-06-04T00:00:00"/>
    </cacheField>
    <cacheField name="Category" numFmtId="0">
      <sharedItems count="3">
        <s v="Food"/>
        <s v="Rent"/>
        <s v="Utilities"/>
      </sharedItems>
    </cacheField>
    <cacheField name="Item" numFmtId="0">
      <sharedItems/>
    </cacheField>
    <cacheField name="Amount" numFmtId="0">
      <sharedItems containsSemiMixedTypes="0" containsString="0" containsNumber="1" containsInteger="1" minValue="10" maxValue="500"/>
    </cacheField>
    <cacheField name="Major expense" numFmtId="0">
      <sharedItems/>
    </cacheField>
    <cacheField name="Food expenses" numFmtId="0">
      <sharedItems/>
    </cacheField>
  </cacheFields>
  <extLst>
    <ext xmlns:x14="http://schemas.microsoft.com/office/spreadsheetml/2009/9/main" uri="{725AE2AE-9491-48be-B2B4-4EB974FC3084}">
      <x14:pivotCacheDefinition pivotCacheId="565941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d v="2023-06-01T00:00:00"/>
    <x v="0"/>
    <s v="Subway sandwich"/>
    <n v="10"/>
    <s v="No"/>
    <s v="Yes"/>
  </r>
  <r>
    <d v="2023-06-01T00:00:00"/>
    <x v="0"/>
    <s v="Chotumal samosa"/>
    <n v="20"/>
    <s v="No"/>
    <s v="Yes"/>
  </r>
  <r>
    <d v="2023-06-02T00:00:00"/>
    <x v="0"/>
    <s v="Groceries"/>
    <n v="50"/>
    <s v="No"/>
    <s v="Yes"/>
  </r>
  <r>
    <d v="2023-06-02T00:00:00"/>
    <x v="1"/>
    <s v="Home rent"/>
    <n v="500"/>
    <s v="Yes"/>
    <s v="No"/>
  </r>
  <r>
    <d v="2023-06-02T00:00:00"/>
    <x v="2"/>
    <s v="Phone bill"/>
    <n v="100"/>
    <s v="Yes"/>
    <s v="No"/>
  </r>
  <r>
    <d v="2023-06-02T00:00:00"/>
    <x v="2"/>
    <s v="Gas bill"/>
    <n v="200"/>
    <s v="Yes"/>
    <s v="No"/>
  </r>
  <r>
    <d v="2023-06-02T00:00:00"/>
    <x v="2"/>
    <s v="Water bill"/>
    <n v="20"/>
    <s v="No"/>
    <s v="No"/>
  </r>
  <r>
    <d v="2023-06-03T00:00:00"/>
    <x v="0"/>
    <s v="Olive garden"/>
    <n v="30"/>
    <s v="No"/>
    <s v="Yes"/>
  </r>
  <r>
    <d v="2023-06-03T00:00:00"/>
    <x v="0"/>
    <s v="tea-post"/>
    <n v="30"/>
    <s v="No"/>
    <s v="Yes"/>
  </r>
  <r>
    <d v="2023-06-03T00:00:00"/>
    <x v="0"/>
    <s v="Tondumal pani puri"/>
    <n v="50"/>
    <s v="No"/>
    <s v="Yes"/>
  </r>
  <r>
    <d v="2023-06-03T00:00:00"/>
    <x v="0"/>
    <s v="Groceries"/>
    <n v="30"/>
    <s v="No"/>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A3C212-E189-4B08-869B-0FA7D5600EB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18:U22" firstHeaderRow="1" firstDataRow="1" firstDataCol="1"/>
  <pivotFields count="6">
    <pivotField numFmtId="16" showAll="0"/>
    <pivotField axis="axisRow" showAll="0">
      <items count="4">
        <item x="0"/>
        <item x="1"/>
        <item x="2"/>
        <item t="default"/>
      </items>
    </pivotField>
    <pivotField showAll="0"/>
    <pivotField dataField="1" showAll="0"/>
    <pivotField showAll="0"/>
    <pivotField showAll="0"/>
  </pivotFields>
  <rowFields count="1">
    <field x="1"/>
  </rowFields>
  <rowItems count="4">
    <i>
      <x/>
    </i>
    <i>
      <x v="1"/>
    </i>
    <i>
      <x v="2"/>
    </i>
    <i t="grand">
      <x/>
    </i>
  </rowItems>
  <colItems count="1">
    <i/>
  </colItems>
  <dataFields count="1">
    <dataField name="Sum of Amount"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DA3793-5265-46D3-9CE6-E3A9E74E08FB}" sourceName="Categor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FCCCE9-057A-47D6-B84F-99F5B30A57A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5A96D-4DA9-4C65-A08D-76BE12115066}" name="Newexpense" displayName="Newexpense" ref="A1:F13" totalsRowCount="1" headerRowDxfId="5">
  <autoFilter ref="A1:F12" xr:uid="{769D19E3-B176-4A18-9012-26F860D8DDB6}">
    <filterColumn colId="1">
      <filters>
        <filter val="Food"/>
      </filters>
    </filterColumn>
  </autoFilter>
  <tableColumns count="6">
    <tableColumn id="1" xr3:uid="{EA36DE11-5657-4F32-989E-AF4084284204}" name="Date" totalsRowLabel="Total" dataDxfId="7"/>
    <tableColumn id="2" xr3:uid="{DC7D2992-11DA-4605-BADD-3884BC648B24}" name="Category"/>
    <tableColumn id="3" xr3:uid="{02BB745A-6570-4738-A23E-01B9F727EC89}" name="Item"/>
    <tableColumn id="4" xr3:uid="{CFDCE6DD-B3CE-4385-9BB1-7EFC3D5DA9F7}" name="Amount" totalsRowFunction="sum" dataDxfId="6" totalsRowDxfId="0"/>
    <tableColumn id="5" xr3:uid="{1A07C905-13CE-45F1-99A4-922C0744F38B}" name="Major expense">
      <calculatedColumnFormula>IF(D2&gt;=100,"Yes","No")</calculatedColumnFormula>
    </tableColumn>
    <tableColumn id="6" xr3:uid="{37989F76-E2C2-47CA-AA56-EE5478E0E236}" name="Food expenses">
      <calculatedColumnFormula>IF(B2= "Food","Yes","No")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zoomScale="115" zoomScaleNormal="115" workbookViewId="0">
      <selection sqref="A1:D12"/>
    </sheetView>
  </sheetViews>
  <sheetFormatPr defaultRowHeight="14.4" x14ac:dyDescent="0.3"/>
  <cols>
    <col min="1" max="1" width="10.88671875" customWidth="1"/>
    <col min="2" max="2" width="11.33203125" customWidth="1"/>
    <col min="3" max="3" width="19" customWidth="1"/>
    <col min="4" max="4" width="10.44140625" style="2" customWidth="1"/>
    <col min="5" max="5" width="14.5546875" bestFit="1" customWidth="1"/>
    <col min="7" max="7" width="13.44140625" bestFit="1" customWidth="1"/>
    <col min="8" max="8" width="16.5546875" customWidth="1"/>
  </cols>
  <sheetData>
    <row r="1" spans="1:8" x14ac:dyDescent="0.3">
      <c r="A1" s="3" t="s">
        <v>0</v>
      </c>
      <c r="B1" s="3" t="s">
        <v>4</v>
      </c>
      <c r="C1" s="3" t="s">
        <v>3</v>
      </c>
      <c r="D1" s="4" t="s">
        <v>2</v>
      </c>
      <c r="E1" s="3" t="s">
        <v>18</v>
      </c>
      <c r="G1" t="s">
        <v>4</v>
      </c>
      <c r="H1" t="s">
        <v>17</v>
      </c>
    </row>
    <row r="2" spans="1:8" x14ac:dyDescent="0.3">
      <c r="A2" s="1">
        <v>45047</v>
      </c>
      <c r="B2" t="s">
        <v>5</v>
      </c>
      <c r="C2" t="s">
        <v>1</v>
      </c>
      <c r="D2" s="2">
        <v>10</v>
      </c>
      <c r="E2" t="str">
        <f t="shared" ref="E2:E12" si="0">IF(D2&gt;=100,"Yes","No")</f>
        <v>No</v>
      </c>
      <c r="G2" t="s">
        <v>5</v>
      </c>
      <c r="H2">
        <f>SUMIF($B$2:$B$12,G2,$D$2:$D$12)</f>
        <v>220</v>
      </c>
    </row>
    <row r="3" spans="1:8" x14ac:dyDescent="0.3">
      <c r="A3" s="1">
        <v>45047</v>
      </c>
      <c r="B3" t="s">
        <v>5</v>
      </c>
      <c r="C3" t="s">
        <v>12</v>
      </c>
      <c r="D3" s="2">
        <v>20</v>
      </c>
      <c r="E3" t="str">
        <f t="shared" si="0"/>
        <v>No</v>
      </c>
      <c r="G3" t="s">
        <v>6</v>
      </c>
      <c r="H3">
        <f t="shared" ref="H3:H4" si="1">SUMIF($B$2:$B$12,G3,$D$2:$D$12)</f>
        <v>500</v>
      </c>
    </row>
    <row r="4" spans="1:8" x14ac:dyDescent="0.3">
      <c r="A4" s="1">
        <v>45047</v>
      </c>
      <c r="B4" t="s">
        <v>5</v>
      </c>
      <c r="C4" t="s">
        <v>11</v>
      </c>
      <c r="D4" s="2">
        <v>50</v>
      </c>
      <c r="E4" t="str">
        <f t="shared" si="0"/>
        <v>No</v>
      </c>
      <c r="G4" t="s">
        <v>7</v>
      </c>
      <c r="H4">
        <f t="shared" si="1"/>
        <v>320</v>
      </c>
    </row>
    <row r="5" spans="1:8" x14ac:dyDescent="0.3">
      <c r="A5" s="1">
        <v>45047</v>
      </c>
      <c r="B5" t="s">
        <v>7</v>
      </c>
      <c r="C5" t="s">
        <v>9</v>
      </c>
      <c r="D5" s="2">
        <v>100</v>
      </c>
      <c r="E5" t="str">
        <f t="shared" si="0"/>
        <v>Yes</v>
      </c>
    </row>
    <row r="6" spans="1:8" x14ac:dyDescent="0.3">
      <c r="A6" s="1">
        <v>45047</v>
      </c>
      <c r="B6" t="s">
        <v>7</v>
      </c>
      <c r="C6" t="s">
        <v>8</v>
      </c>
      <c r="D6" s="2">
        <v>200</v>
      </c>
      <c r="E6" t="str">
        <f t="shared" si="0"/>
        <v>Yes</v>
      </c>
    </row>
    <row r="7" spans="1:8" x14ac:dyDescent="0.3">
      <c r="A7" s="1">
        <v>45047</v>
      </c>
      <c r="B7" t="s">
        <v>6</v>
      </c>
      <c r="C7" t="s">
        <v>10</v>
      </c>
      <c r="D7" s="2">
        <v>500</v>
      </c>
      <c r="E7" t="str">
        <f t="shared" si="0"/>
        <v>Yes</v>
      </c>
    </row>
    <row r="8" spans="1:8" x14ac:dyDescent="0.3">
      <c r="A8" s="1">
        <v>45048</v>
      </c>
      <c r="B8" t="s">
        <v>7</v>
      </c>
      <c r="C8" t="s">
        <v>15</v>
      </c>
      <c r="D8" s="2">
        <v>20</v>
      </c>
      <c r="E8" t="str">
        <f t="shared" si="0"/>
        <v>No</v>
      </c>
    </row>
    <row r="9" spans="1:8" x14ac:dyDescent="0.3">
      <c r="A9" s="1">
        <v>45048</v>
      </c>
      <c r="B9" t="s">
        <v>5</v>
      </c>
      <c r="C9" t="s">
        <v>14</v>
      </c>
      <c r="D9" s="2">
        <v>30</v>
      </c>
      <c r="E9" t="str">
        <f t="shared" si="0"/>
        <v>No</v>
      </c>
    </row>
    <row r="10" spans="1:8" x14ac:dyDescent="0.3">
      <c r="A10" s="1">
        <v>45048</v>
      </c>
      <c r="B10" t="s">
        <v>5</v>
      </c>
      <c r="C10" t="s">
        <v>16</v>
      </c>
      <c r="D10" s="2">
        <v>30</v>
      </c>
      <c r="E10" t="str">
        <f t="shared" si="0"/>
        <v>No</v>
      </c>
    </row>
    <row r="11" spans="1:8" x14ac:dyDescent="0.3">
      <c r="A11" s="1">
        <v>45048</v>
      </c>
      <c r="B11" t="s">
        <v>5</v>
      </c>
      <c r="C11" t="s">
        <v>13</v>
      </c>
      <c r="D11" s="2">
        <v>50</v>
      </c>
      <c r="E11" t="str">
        <f t="shared" si="0"/>
        <v>No</v>
      </c>
    </row>
    <row r="12" spans="1:8" x14ac:dyDescent="0.3">
      <c r="A12" s="1">
        <v>45049</v>
      </c>
      <c r="B12" t="s">
        <v>5</v>
      </c>
      <c r="C12" t="s">
        <v>11</v>
      </c>
      <c r="D12" s="2">
        <v>30</v>
      </c>
      <c r="E12" t="str">
        <f t="shared" si="0"/>
        <v>No</v>
      </c>
    </row>
    <row r="14" spans="1:8" x14ac:dyDescent="0.3">
      <c r="E14" s="5"/>
    </row>
  </sheetData>
  <sortState xmlns:xlrd2="http://schemas.microsoft.com/office/spreadsheetml/2017/richdata2" ref="A2:E12">
    <sortCondition ref="A2:A12"/>
  </sortState>
  <conditionalFormatting sqref="E2:E14">
    <cfRule type="cellIs" dxfId="4" priority="1" operator="equal">
      <formula>"Yes"</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D04A-3B0A-4DB9-86D0-CD326D0C1C8B}">
  <dimension ref="A1:E13"/>
  <sheetViews>
    <sheetView workbookViewId="0">
      <selection sqref="A1:D12"/>
    </sheetView>
  </sheetViews>
  <sheetFormatPr defaultRowHeight="14.4" x14ac:dyDescent="0.3"/>
  <cols>
    <col min="1" max="1" width="11.5546875" customWidth="1"/>
    <col min="2" max="2" width="15.44140625" customWidth="1"/>
    <col min="3" max="3" width="17.109375" customWidth="1"/>
  </cols>
  <sheetData>
    <row r="1" spans="1:5" x14ac:dyDescent="0.3">
      <c r="A1" s="3" t="s">
        <v>0</v>
      </c>
      <c r="B1" s="3" t="s">
        <v>4</v>
      </c>
      <c r="C1" s="3" t="s">
        <v>3</v>
      </c>
      <c r="D1" s="4" t="s">
        <v>2</v>
      </c>
      <c r="E1" s="3" t="s">
        <v>18</v>
      </c>
    </row>
    <row r="2" spans="1:5" x14ac:dyDescent="0.3">
      <c r="A2" s="1">
        <v>45078</v>
      </c>
      <c r="B2" t="s">
        <v>5</v>
      </c>
      <c r="C2" t="s">
        <v>1</v>
      </c>
      <c r="D2" s="2">
        <v>10</v>
      </c>
      <c r="E2" t="str">
        <f t="shared" ref="E2:E12" si="0">IF(D2&gt;=100,"Yes","No")</f>
        <v>No</v>
      </c>
    </row>
    <row r="3" spans="1:5" x14ac:dyDescent="0.3">
      <c r="A3" s="1">
        <v>45078</v>
      </c>
      <c r="B3" t="s">
        <v>5</v>
      </c>
      <c r="C3" t="s">
        <v>12</v>
      </c>
      <c r="D3" s="2">
        <v>20</v>
      </c>
      <c r="E3" t="str">
        <f t="shared" si="0"/>
        <v>No</v>
      </c>
    </row>
    <row r="4" spans="1:5" x14ac:dyDescent="0.3">
      <c r="A4" s="1">
        <v>45079</v>
      </c>
      <c r="B4" t="s">
        <v>5</v>
      </c>
      <c r="C4" t="s">
        <v>11</v>
      </c>
      <c r="D4" s="2">
        <v>50</v>
      </c>
      <c r="E4" t="str">
        <f t="shared" si="0"/>
        <v>No</v>
      </c>
    </row>
    <row r="5" spans="1:5" x14ac:dyDescent="0.3">
      <c r="A5" s="1">
        <v>45079</v>
      </c>
      <c r="B5" t="s">
        <v>7</v>
      </c>
      <c r="C5" t="s">
        <v>9</v>
      </c>
      <c r="D5" s="2">
        <v>100</v>
      </c>
      <c r="E5" t="str">
        <f t="shared" si="0"/>
        <v>Yes</v>
      </c>
    </row>
    <row r="6" spans="1:5" x14ac:dyDescent="0.3">
      <c r="A6" s="1">
        <v>45079</v>
      </c>
      <c r="B6" t="s">
        <v>7</v>
      </c>
      <c r="C6" t="s">
        <v>8</v>
      </c>
      <c r="D6" s="2">
        <v>200</v>
      </c>
      <c r="E6" t="str">
        <f t="shared" si="0"/>
        <v>Yes</v>
      </c>
    </row>
    <row r="7" spans="1:5" x14ac:dyDescent="0.3">
      <c r="A7" s="1">
        <v>45079</v>
      </c>
      <c r="B7" t="s">
        <v>6</v>
      </c>
      <c r="C7" t="s">
        <v>10</v>
      </c>
      <c r="D7" s="2">
        <v>500</v>
      </c>
      <c r="E7" t="str">
        <f t="shared" si="0"/>
        <v>Yes</v>
      </c>
    </row>
    <row r="8" spans="1:5" x14ac:dyDescent="0.3">
      <c r="A8" s="1">
        <v>45079</v>
      </c>
      <c r="B8" t="s">
        <v>7</v>
      </c>
      <c r="C8" t="s">
        <v>15</v>
      </c>
      <c r="D8" s="2">
        <v>20</v>
      </c>
      <c r="E8" t="str">
        <f t="shared" si="0"/>
        <v>No</v>
      </c>
    </row>
    <row r="9" spans="1:5" x14ac:dyDescent="0.3">
      <c r="A9" s="1">
        <v>45080</v>
      </c>
      <c r="B9" t="s">
        <v>5</v>
      </c>
      <c r="C9" t="s">
        <v>14</v>
      </c>
      <c r="D9" s="2">
        <v>30</v>
      </c>
      <c r="E9" t="str">
        <f t="shared" si="0"/>
        <v>No</v>
      </c>
    </row>
    <row r="10" spans="1:5" x14ac:dyDescent="0.3">
      <c r="A10" s="1">
        <v>45080</v>
      </c>
      <c r="B10" t="s">
        <v>5</v>
      </c>
      <c r="C10" t="s">
        <v>16</v>
      </c>
      <c r="D10" s="2">
        <v>30</v>
      </c>
      <c r="E10" t="str">
        <f t="shared" si="0"/>
        <v>No</v>
      </c>
    </row>
    <row r="11" spans="1:5" x14ac:dyDescent="0.3">
      <c r="A11" s="1">
        <v>45080</v>
      </c>
      <c r="B11" t="s">
        <v>5</v>
      </c>
      <c r="C11" t="s">
        <v>13</v>
      </c>
      <c r="D11" s="2">
        <v>50</v>
      </c>
      <c r="E11" t="str">
        <f t="shared" si="0"/>
        <v>No</v>
      </c>
    </row>
    <row r="12" spans="1:5" x14ac:dyDescent="0.3">
      <c r="A12" s="1">
        <v>45080</v>
      </c>
      <c r="B12" t="s">
        <v>5</v>
      </c>
      <c r="C12" t="s">
        <v>11</v>
      </c>
      <c r="D12" s="2">
        <v>30</v>
      </c>
      <c r="E12" t="str">
        <f t="shared" si="0"/>
        <v>No</v>
      </c>
    </row>
    <row r="13" spans="1:5" x14ac:dyDescent="0.3">
      <c r="D13" s="2"/>
    </row>
  </sheetData>
  <conditionalFormatting sqref="E2:E13">
    <cfRule type="cellIs" dxfId="3" priority="1" operator="equal">
      <formula>"Yes"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D19E3-B176-4A18-9012-26F860D8DDB6}">
  <dimension ref="A1:U24"/>
  <sheetViews>
    <sheetView tabSelected="1" workbookViewId="0">
      <selection activeCell="Q20" sqref="Q20"/>
    </sheetView>
  </sheetViews>
  <sheetFormatPr defaultRowHeight="14.4" x14ac:dyDescent="0.3"/>
  <cols>
    <col min="2" max="2" width="10.44140625" customWidth="1"/>
    <col min="3" max="3" width="0" hidden="1" customWidth="1"/>
    <col min="4" max="4" width="9.77734375" customWidth="1"/>
    <col min="5" max="5" width="15.33203125" customWidth="1"/>
    <col min="6" max="6" width="21" customWidth="1"/>
    <col min="10" max="10" width="17" customWidth="1"/>
    <col min="11" max="11" width="12.109375" customWidth="1"/>
    <col min="20" max="20" width="12.5546875" bestFit="1" customWidth="1"/>
    <col min="21" max="21" width="14.44140625" bestFit="1" customWidth="1"/>
  </cols>
  <sheetData>
    <row r="1" spans="1:11" x14ac:dyDescent="0.3">
      <c r="A1" s="3" t="s">
        <v>0</v>
      </c>
      <c r="B1" s="3" t="s">
        <v>4</v>
      </c>
      <c r="C1" s="3" t="s">
        <v>3</v>
      </c>
      <c r="D1" s="4" t="s">
        <v>2</v>
      </c>
      <c r="E1" s="3" t="s">
        <v>19</v>
      </c>
      <c r="F1" s="3" t="s">
        <v>20</v>
      </c>
    </row>
    <row r="2" spans="1:11" x14ac:dyDescent="0.3">
      <c r="A2" s="1">
        <v>45078</v>
      </c>
      <c r="B2" t="s">
        <v>5</v>
      </c>
      <c r="C2" t="s">
        <v>1</v>
      </c>
      <c r="D2" s="2">
        <v>10</v>
      </c>
      <c r="E2" t="str">
        <f>IF(D2&gt;=100,"Yes","No")</f>
        <v>No</v>
      </c>
      <c r="F2" t="str">
        <f>IF(B2= "Food","Yes","No")</f>
        <v>Yes</v>
      </c>
      <c r="J2" s="3" t="s">
        <v>21</v>
      </c>
      <c r="K2" s="3" t="s">
        <v>22</v>
      </c>
    </row>
    <row r="3" spans="1:11" x14ac:dyDescent="0.3">
      <c r="A3" s="1">
        <v>45078</v>
      </c>
      <c r="B3" t="s">
        <v>5</v>
      </c>
      <c r="C3" t="s">
        <v>12</v>
      </c>
      <c r="D3" s="2">
        <v>20</v>
      </c>
      <c r="E3" t="str">
        <f>IF(D3&gt;=100,"Yes","No")</f>
        <v>No</v>
      </c>
      <c r="F3" t="str">
        <f t="shared" ref="F3:F12" si="0">IF(B3= "Food","Yes","No")</f>
        <v>Yes</v>
      </c>
      <c r="J3" t="s">
        <v>5</v>
      </c>
      <c r="K3">
        <f>SUMIF(B2:B12,J3,D2:D12)</f>
        <v>220</v>
      </c>
    </row>
    <row r="4" spans="1:11" x14ac:dyDescent="0.3">
      <c r="A4" s="1">
        <v>45079</v>
      </c>
      <c r="B4" t="s">
        <v>5</v>
      </c>
      <c r="C4" t="s">
        <v>11</v>
      </c>
      <c r="D4" s="2">
        <v>50</v>
      </c>
      <c r="E4" t="str">
        <f>IF(D4&gt;=100,"Yes","No")</f>
        <v>No</v>
      </c>
      <c r="F4" t="str">
        <f t="shared" si="0"/>
        <v>Yes</v>
      </c>
      <c r="J4" t="s">
        <v>6</v>
      </c>
      <c r="K4">
        <f>SUMIF(B3:B14,J4,D3:D14)</f>
        <v>500</v>
      </c>
    </row>
    <row r="5" spans="1:11" hidden="1" x14ac:dyDescent="0.3">
      <c r="A5" s="1">
        <v>45079</v>
      </c>
      <c r="B5" t="s">
        <v>6</v>
      </c>
      <c r="C5" t="s">
        <v>10</v>
      </c>
      <c r="D5" s="2">
        <v>500</v>
      </c>
      <c r="E5" t="str">
        <f>IF(D5&gt;=100,"Yes","No")</f>
        <v>Yes</v>
      </c>
      <c r="F5" t="str">
        <f t="shared" si="0"/>
        <v>No</v>
      </c>
      <c r="J5" t="s">
        <v>7</v>
      </c>
      <c r="K5">
        <f>SUMIF(B4:B15,J5,D4:D15)</f>
        <v>320</v>
      </c>
    </row>
    <row r="6" spans="1:11" hidden="1" x14ac:dyDescent="0.3">
      <c r="A6" s="1">
        <v>45079</v>
      </c>
      <c r="B6" t="s">
        <v>7</v>
      </c>
      <c r="C6" t="s">
        <v>9</v>
      </c>
      <c r="D6" s="2">
        <v>100</v>
      </c>
      <c r="E6" t="str">
        <f>IF(D6&gt;=100,"Yes","No")</f>
        <v>Yes</v>
      </c>
      <c r="F6" t="str">
        <f t="shared" si="0"/>
        <v>No</v>
      </c>
    </row>
    <row r="7" spans="1:11" hidden="1" x14ac:dyDescent="0.3">
      <c r="A7" s="1">
        <v>45079</v>
      </c>
      <c r="B7" t="s">
        <v>7</v>
      </c>
      <c r="C7" t="s">
        <v>8</v>
      </c>
      <c r="D7" s="2">
        <v>200</v>
      </c>
      <c r="E7" t="str">
        <f>IF(D7&gt;=100,"Yes","No")</f>
        <v>Yes</v>
      </c>
      <c r="F7" t="str">
        <f t="shared" si="0"/>
        <v>No</v>
      </c>
    </row>
    <row r="8" spans="1:11" hidden="1" x14ac:dyDescent="0.3">
      <c r="A8" s="1">
        <v>45079</v>
      </c>
      <c r="B8" t="s">
        <v>7</v>
      </c>
      <c r="C8" t="s">
        <v>15</v>
      </c>
      <c r="D8" s="2">
        <v>20</v>
      </c>
      <c r="E8" t="str">
        <f>IF(D8&gt;=100,"Yes","No")</f>
        <v>No</v>
      </c>
      <c r="F8" t="str">
        <f t="shared" si="0"/>
        <v>No</v>
      </c>
    </row>
    <row r="9" spans="1:11" x14ac:dyDescent="0.3">
      <c r="A9" s="1">
        <v>45080</v>
      </c>
      <c r="B9" t="s">
        <v>5</v>
      </c>
      <c r="C9" t="s">
        <v>14</v>
      </c>
      <c r="D9" s="2">
        <v>30</v>
      </c>
      <c r="E9" t="str">
        <f>IF(D9&gt;=100,"Yes","No")</f>
        <v>No</v>
      </c>
      <c r="F9" t="str">
        <f t="shared" si="0"/>
        <v>Yes</v>
      </c>
    </row>
    <row r="10" spans="1:11" x14ac:dyDescent="0.3">
      <c r="A10" s="1">
        <v>45080</v>
      </c>
      <c r="B10" t="s">
        <v>5</v>
      </c>
      <c r="C10" t="s">
        <v>16</v>
      </c>
      <c r="D10" s="2">
        <v>30</v>
      </c>
      <c r="E10" t="str">
        <f>IF(D10&gt;=100,"Yes","No")</f>
        <v>No</v>
      </c>
      <c r="F10" t="str">
        <f t="shared" si="0"/>
        <v>Yes</v>
      </c>
    </row>
    <row r="11" spans="1:11" x14ac:dyDescent="0.3">
      <c r="A11" s="1">
        <v>45080</v>
      </c>
      <c r="B11" t="s">
        <v>5</v>
      </c>
      <c r="C11" t="s">
        <v>13</v>
      </c>
      <c r="D11" s="2">
        <v>50</v>
      </c>
      <c r="E11" t="str">
        <f>IF(D11&gt;=100,"Yes","No")</f>
        <v>No</v>
      </c>
      <c r="F11" t="str">
        <f t="shared" si="0"/>
        <v>Yes</v>
      </c>
    </row>
    <row r="12" spans="1:11" x14ac:dyDescent="0.3">
      <c r="A12" s="1">
        <v>45080</v>
      </c>
      <c r="B12" t="s">
        <v>5</v>
      </c>
      <c r="C12" t="s">
        <v>11</v>
      </c>
      <c r="D12" s="2">
        <v>30</v>
      </c>
      <c r="E12" t="str">
        <f>IF(D12&gt;=100,"Yes","No")</f>
        <v>No</v>
      </c>
      <c r="F12" t="str">
        <f t="shared" si="0"/>
        <v>Yes</v>
      </c>
    </row>
    <row r="13" spans="1:11" x14ac:dyDescent="0.3">
      <c r="A13" t="s">
        <v>23</v>
      </c>
      <c r="D13" s="2">
        <f>SUBTOTAL(109,Newexpense[Amount])</f>
        <v>220</v>
      </c>
    </row>
    <row r="16" spans="1:11" x14ac:dyDescent="0.3">
      <c r="F16">
        <f>SUM(Newexpense[Amount])</f>
        <v>1040</v>
      </c>
    </row>
    <row r="18" spans="5:21" x14ac:dyDescent="0.3">
      <c r="T18" s="6" t="s">
        <v>26</v>
      </c>
      <c r="U18" t="s">
        <v>25</v>
      </c>
    </row>
    <row r="19" spans="5:21" x14ac:dyDescent="0.3">
      <c r="T19" s="8" t="s">
        <v>5</v>
      </c>
      <c r="U19" s="7">
        <v>220</v>
      </c>
    </row>
    <row r="20" spans="5:21" x14ac:dyDescent="0.3">
      <c r="E20" t="s">
        <v>24</v>
      </c>
      <c r="J20" s="3" t="s">
        <v>28</v>
      </c>
      <c r="K20" s="3" t="s">
        <v>29</v>
      </c>
      <c r="L20" s="3" t="s">
        <v>30</v>
      </c>
      <c r="T20" s="8" t="s">
        <v>6</v>
      </c>
      <c r="U20" s="7">
        <v>500</v>
      </c>
    </row>
    <row r="21" spans="5:21" x14ac:dyDescent="0.3">
      <c r="J21" t="s">
        <v>31</v>
      </c>
      <c r="K21">
        <v>500</v>
      </c>
      <c r="L21">
        <v>1000</v>
      </c>
      <c r="T21" s="8" t="s">
        <v>7</v>
      </c>
      <c r="U21" s="7">
        <v>320</v>
      </c>
    </row>
    <row r="22" spans="5:21" x14ac:dyDescent="0.3">
      <c r="J22" t="s">
        <v>32</v>
      </c>
      <c r="K22">
        <v>400</v>
      </c>
      <c r="L22">
        <v>800</v>
      </c>
      <c r="T22" s="8" t="s">
        <v>27</v>
      </c>
      <c r="U22" s="7">
        <v>1040</v>
      </c>
    </row>
    <row r="23" spans="5:21" x14ac:dyDescent="0.3">
      <c r="J23" t="s">
        <v>33</v>
      </c>
      <c r="K23">
        <v>300</v>
      </c>
      <c r="L23">
        <v>600</v>
      </c>
    </row>
    <row r="24" spans="5:21" x14ac:dyDescent="0.3">
      <c r="J24" t="s">
        <v>34</v>
      </c>
      <c r="K24">
        <v>200</v>
      </c>
      <c r="L24">
        <v>400</v>
      </c>
    </row>
  </sheetData>
  <sortState xmlns:xlrd2="http://schemas.microsoft.com/office/spreadsheetml/2017/richdata2" ref="A2:E12">
    <sortCondition ref="A1:A12"/>
  </sortState>
  <conditionalFormatting sqref="F1:F12 F14:F1048576">
    <cfRule type="cellIs" dxfId="2" priority="1" operator="equal">
      <formula>"Yes"</formula>
    </cfRule>
    <cfRule type="cellIs" dxfId="1" priority="2" operator="equal">
      <formula>"""Yes"""</formula>
    </cfRule>
  </conditionalFormatting>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4092E1-A6C9-44E4-AC0C-FE8AD14441E6}">
  <ds:schemaRefs>
    <ds:schemaRef ds:uri="http://schemas.microsoft.com/sharepoint/v3/contenttype/forms"/>
  </ds:schemaRefs>
</ds:datastoreItem>
</file>

<file path=customXml/itemProps2.xml><?xml version="1.0" encoding="utf-8"?>
<ds:datastoreItem xmlns:ds="http://schemas.openxmlformats.org/officeDocument/2006/customXml" ds:itemID="{A9276F04-B43B-44EE-AE72-4A37BCD988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May-2023</vt:lpstr>
      <vt:lpstr>June-2023</vt:lpstr>
      <vt:lpstr>Sheet1</vt:lpstr>
      <vt:lpstr>Myexpense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Dhaval Patel</dc:creator>
  <cp:lastModifiedBy>Tilak R</cp:lastModifiedBy>
  <dcterms:created xsi:type="dcterms:W3CDTF">2015-06-05T18:17:20Z</dcterms:created>
  <dcterms:modified xsi:type="dcterms:W3CDTF">2026-01-18T07:32:44Z</dcterms:modified>
</cp:coreProperties>
</file>